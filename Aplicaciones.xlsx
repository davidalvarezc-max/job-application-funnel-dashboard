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14 G1 I7\Desktop\Aplicaciones\"/>
    </mc:Choice>
  </mc:AlternateContent>
  <xr:revisionPtr revIDLastSave="0" documentId="13_ncr:1_{D2409F91-E012-4EA3-A4C4-12404DB6EE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RM_vacantes" sheetId="3" r:id="rId1"/>
    <sheet name="Dashboard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/>
  <c r="C6" i="4"/>
  <c r="C5" i="4"/>
  <c r="C4" i="4"/>
</calcChain>
</file>

<file path=xl/sharedStrings.xml><?xml version="1.0" encoding="utf-8"?>
<sst xmlns="http://schemas.openxmlformats.org/spreadsheetml/2006/main" count="165" uniqueCount="76">
  <si>
    <t>Turing</t>
  </si>
  <si>
    <t>Portal</t>
  </si>
  <si>
    <t>Revenue Manager</t>
  </si>
  <si>
    <t>IHH</t>
  </si>
  <si>
    <t>Fecha</t>
  </si>
  <si>
    <t>Condiciones</t>
  </si>
  <si>
    <t>Conocido</t>
  </si>
  <si>
    <t>METOVA</t>
  </si>
  <si>
    <t>Jabil</t>
  </si>
  <si>
    <t>Truelogic</t>
  </si>
  <si>
    <t>Sales Operations Analyst</t>
  </si>
  <si>
    <t>Samsara</t>
  </si>
  <si>
    <t>Aviat Networks</t>
  </si>
  <si>
    <t>Aviat</t>
  </si>
  <si>
    <t>HPE</t>
  </si>
  <si>
    <t>BairesDev</t>
  </si>
  <si>
    <t>Commercial Support Analyst</t>
  </si>
  <si>
    <t>Near</t>
  </si>
  <si>
    <t>Tekton</t>
  </si>
  <si>
    <t>Revenue Operations</t>
  </si>
  <si>
    <t>Remote Latinos</t>
  </si>
  <si>
    <t>Global Team</t>
  </si>
  <si>
    <t>Revenue Operations Specialist</t>
  </si>
  <si>
    <t>Empresa</t>
  </si>
  <si>
    <t>Puesto</t>
  </si>
  <si>
    <t>Track</t>
  </si>
  <si>
    <t>Semaforo</t>
  </si>
  <si>
    <t>Etapa</t>
  </si>
  <si>
    <t>Esfuerzo</t>
  </si>
  <si>
    <t>Notas</t>
  </si>
  <si>
    <t>FollowUp</t>
  </si>
  <si>
    <t>LinkedIn</t>
  </si>
  <si>
    <t>QA AI Analyst</t>
  </si>
  <si>
    <t>AI</t>
  </si>
  <si>
    <t>Red</t>
  </si>
  <si>
    <t>Rejected</t>
  </si>
  <si>
    <t>Assessment</t>
  </si>
  <si>
    <t>15 USD hora, remoto 100%</t>
  </si>
  <si>
    <t>Test IA</t>
  </si>
  <si>
    <t>-</t>
  </si>
  <si>
    <t>RevOps</t>
  </si>
  <si>
    <t>Yellow</t>
  </si>
  <si>
    <t>Closed</t>
  </si>
  <si>
    <t>Referral</t>
  </si>
  <si>
    <t>Rango desconocido</t>
  </si>
  <si>
    <t>Supongo 100k mensual</t>
  </si>
  <si>
    <t>Adzuna</t>
  </si>
  <si>
    <t>Analista Ventas Ops Jr</t>
  </si>
  <si>
    <t>SalesOps</t>
  </si>
  <si>
    <t>Green</t>
  </si>
  <si>
    <t>Applied</t>
  </si>
  <si>
    <t>Form</t>
  </si>
  <si>
    <t>Puede crecer a Analyst</t>
  </si>
  <si>
    <t>Business Analyst III</t>
  </si>
  <si>
    <t>Business Analyst</t>
  </si>
  <si>
    <t>Sin datos</t>
  </si>
  <si>
    <t>Easy Apply</t>
  </si>
  <si>
    <t>MyGreenhouse</t>
  </si>
  <si>
    <t>Empresa fuerte</t>
  </si>
  <si>
    <t>50k USD anual</t>
  </si>
  <si>
    <t>Empresa grande</t>
  </si>
  <si>
    <t>CommercialOps</t>
  </si>
  <si>
    <t>Buena oferta</t>
  </si>
  <si>
    <t>Test muy complejo</t>
  </si>
  <si>
    <t>Vacantes Aplicadas</t>
  </si>
  <si>
    <t>Assesments</t>
  </si>
  <si>
    <t>Tasa de conversión a entrevista</t>
  </si>
  <si>
    <t>**Pendiente mejora de enviar mensaje al reclutador y al jefe</t>
  </si>
  <si>
    <t>Mission Hires</t>
  </si>
  <si>
    <t>Revenue Operations Specialist (HubSpot &amp; Outbound Operations)</t>
  </si>
  <si>
    <t>NA</t>
  </si>
  <si>
    <t>inteli-K</t>
  </si>
  <si>
    <t>Sales Operations Specialist</t>
  </si>
  <si>
    <t>Sales Operations Coordinator</t>
  </si>
  <si>
    <t>Sales ops coordinator</t>
  </si>
  <si>
    <t>remote rocketship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</si>
</sst>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DCBD4-46F8-4868-BD80-F7D6A1087C7B}">
  <dimension ref="B3:Q19"/>
  <sheetViews>
    <sheetView tabSelected="1" workbookViewId="0">
      <selection activeCell="H20" sqref="H20"/>
    </sheetView>
  </sheetViews>
  <sheetFormatPr baseColWidth="10" defaultRowHeight="15" x14ac:dyDescent="0.25"/>
  <cols>
    <col min="2" max="2" width="10.7109375" bestFit="1" customWidth="1"/>
    <col min="3" max="3" width="17.42578125" bestFit="1" customWidth="1"/>
    <col min="4" max="4" width="14.7109375" bestFit="1" customWidth="1"/>
    <col min="5" max="5" width="60.28515625" bestFit="1" customWidth="1"/>
    <col min="6" max="6" width="15.7109375" bestFit="1" customWidth="1"/>
    <col min="7" max="7" width="15.7109375" customWidth="1"/>
    <col min="8" max="9" width="11.5703125" bestFit="1" customWidth="1"/>
    <col min="10" max="10" width="24.28515625" bestFit="1" customWidth="1"/>
    <col min="11" max="11" width="21.42578125" bestFit="1" customWidth="1"/>
    <col min="12" max="12" width="10.7109375" bestFit="1" customWidth="1"/>
  </cols>
  <sheetData>
    <row r="3" spans="2:17" x14ac:dyDescent="0.25">
      <c r="B3" t="s">
        <v>4</v>
      </c>
      <c r="C3" t="s">
        <v>1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5</v>
      </c>
      <c r="K3" t="s">
        <v>29</v>
      </c>
      <c r="L3" t="s">
        <v>30</v>
      </c>
    </row>
    <row r="4" spans="2:17" x14ac:dyDescent="0.25">
      <c r="B4" s="1">
        <v>46082</v>
      </c>
      <c r="C4" t="s">
        <v>31</v>
      </c>
      <c r="D4" t="s">
        <v>0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</row>
    <row r="5" spans="2:17" x14ac:dyDescent="0.25">
      <c r="B5" s="1">
        <v>46083</v>
      </c>
      <c r="C5" t="s">
        <v>6</v>
      </c>
      <c r="D5" t="s">
        <v>3</v>
      </c>
      <c r="E5" t="s">
        <v>2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39</v>
      </c>
      <c r="Q5" t="s">
        <v>34</v>
      </c>
    </row>
    <row r="6" spans="2:17" x14ac:dyDescent="0.25">
      <c r="B6" s="1">
        <v>46083</v>
      </c>
      <c r="C6" t="s">
        <v>46</v>
      </c>
      <c r="D6" t="s">
        <v>7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39</v>
      </c>
      <c r="K6" t="s">
        <v>52</v>
      </c>
      <c r="L6" s="1">
        <v>46088</v>
      </c>
      <c r="Q6" t="s">
        <v>41</v>
      </c>
    </row>
    <row r="7" spans="2:17" x14ac:dyDescent="0.25">
      <c r="B7" s="1">
        <v>46083</v>
      </c>
      <c r="C7" t="s">
        <v>8</v>
      </c>
      <c r="D7" t="s">
        <v>8</v>
      </c>
      <c r="E7" t="s">
        <v>53</v>
      </c>
      <c r="F7" t="s">
        <v>54</v>
      </c>
      <c r="G7" t="s">
        <v>41</v>
      </c>
      <c r="H7" t="s">
        <v>50</v>
      </c>
      <c r="I7" t="s">
        <v>51</v>
      </c>
      <c r="J7" t="s">
        <v>39</v>
      </c>
      <c r="K7" t="s">
        <v>55</v>
      </c>
      <c r="L7" s="1">
        <v>46088</v>
      </c>
      <c r="Q7" t="s">
        <v>49</v>
      </c>
    </row>
    <row r="8" spans="2:17" x14ac:dyDescent="0.25">
      <c r="B8" s="1">
        <v>46084</v>
      </c>
      <c r="C8" t="s">
        <v>31</v>
      </c>
      <c r="D8" t="s">
        <v>9</v>
      </c>
      <c r="E8" t="s">
        <v>10</v>
      </c>
      <c r="F8" t="s">
        <v>48</v>
      </c>
      <c r="G8" t="s">
        <v>49</v>
      </c>
      <c r="H8" t="s">
        <v>50</v>
      </c>
      <c r="I8" t="s">
        <v>56</v>
      </c>
      <c r="J8" t="s">
        <v>39</v>
      </c>
      <c r="K8" t="s">
        <v>39</v>
      </c>
      <c r="L8" s="1">
        <v>46089</v>
      </c>
    </row>
    <row r="9" spans="2:17" x14ac:dyDescent="0.25">
      <c r="B9" s="1">
        <v>46084</v>
      </c>
      <c r="C9" t="s">
        <v>57</v>
      </c>
      <c r="D9" t="s">
        <v>11</v>
      </c>
      <c r="E9" t="s">
        <v>10</v>
      </c>
      <c r="F9" t="s">
        <v>48</v>
      </c>
      <c r="G9" t="s">
        <v>49</v>
      </c>
      <c r="H9" t="s">
        <v>50</v>
      </c>
      <c r="I9" t="s">
        <v>51</v>
      </c>
      <c r="J9" t="s">
        <v>39</v>
      </c>
      <c r="K9" t="s">
        <v>58</v>
      </c>
      <c r="L9" s="1">
        <v>46089</v>
      </c>
    </row>
    <row r="10" spans="2:17" x14ac:dyDescent="0.25">
      <c r="B10" s="1">
        <v>46084</v>
      </c>
      <c r="C10" t="s">
        <v>12</v>
      </c>
      <c r="D10" t="s">
        <v>13</v>
      </c>
      <c r="E10" t="s">
        <v>10</v>
      </c>
      <c r="F10" t="s">
        <v>48</v>
      </c>
      <c r="G10" t="s">
        <v>49</v>
      </c>
      <c r="H10" t="s">
        <v>50</v>
      </c>
      <c r="I10" t="s">
        <v>51</v>
      </c>
      <c r="J10" t="s">
        <v>59</v>
      </c>
      <c r="K10" t="s">
        <v>39</v>
      </c>
      <c r="L10" s="1">
        <v>46089</v>
      </c>
    </row>
    <row r="11" spans="2:17" x14ac:dyDescent="0.25">
      <c r="B11" s="1">
        <v>46084</v>
      </c>
      <c r="C11" t="s">
        <v>31</v>
      </c>
      <c r="D11" t="s">
        <v>14</v>
      </c>
      <c r="E11" t="s">
        <v>10</v>
      </c>
      <c r="F11" t="s">
        <v>48</v>
      </c>
      <c r="G11" t="s">
        <v>49</v>
      </c>
      <c r="H11" t="s">
        <v>50</v>
      </c>
      <c r="I11" t="s">
        <v>51</v>
      </c>
      <c r="J11" t="s">
        <v>39</v>
      </c>
      <c r="K11" t="s">
        <v>60</v>
      </c>
      <c r="L11" s="1">
        <v>46089</v>
      </c>
    </row>
    <row r="12" spans="2:17" x14ac:dyDescent="0.25">
      <c r="B12" s="1">
        <v>46084</v>
      </c>
      <c r="C12" t="s">
        <v>31</v>
      </c>
      <c r="D12" t="s">
        <v>15</v>
      </c>
      <c r="E12" t="s">
        <v>16</v>
      </c>
      <c r="F12" t="s">
        <v>61</v>
      </c>
      <c r="G12" t="s">
        <v>49</v>
      </c>
      <c r="H12" t="s">
        <v>50</v>
      </c>
      <c r="I12" t="s">
        <v>51</v>
      </c>
      <c r="J12" t="s">
        <v>39</v>
      </c>
      <c r="K12" t="s">
        <v>39</v>
      </c>
      <c r="L12" s="1">
        <v>46089</v>
      </c>
    </row>
    <row r="13" spans="2:17" x14ac:dyDescent="0.25">
      <c r="B13" s="1">
        <v>46085</v>
      </c>
      <c r="C13" t="s">
        <v>31</v>
      </c>
      <c r="D13" t="s">
        <v>17</v>
      </c>
      <c r="E13" t="s">
        <v>10</v>
      </c>
      <c r="F13" t="s">
        <v>48</v>
      </c>
      <c r="G13" t="s">
        <v>49</v>
      </c>
      <c r="H13" t="s">
        <v>50</v>
      </c>
      <c r="I13" t="s">
        <v>51</v>
      </c>
      <c r="J13" t="s">
        <v>39</v>
      </c>
      <c r="K13" t="s">
        <v>39</v>
      </c>
      <c r="L13" s="1">
        <v>46090</v>
      </c>
    </row>
    <row r="14" spans="2:17" x14ac:dyDescent="0.25">
      <c r="B14" s="1">
        <v>46085</v>
      </c>
      <c r="C14" t="s">
        <v>31</v>
      </c>
      <c r="D14" t="s">
        <v>18</v>
      </c>
      <c r="E14" t="s">
        <v>40</v>
      </c>
      <c r="F14" t="s">
        <v>40</v>
      </c>
      <c r="G14" t="s">
        <v>41</v>
      </c>
      <c r="H14" t="s">
        <v>35</v>
      </c>
      <c r="I14" t="s">
        <v>51</v>
      </c>
      <c r="J14" t="s">
        <v>39</v>
      </c>
      <c r="K14" t="s">
        <v>39</v>
      </c>
      <c r="L14" t="s">
        <v>39</v>
      </c>
    </row>
    <row r="15" spans="2:17" x14ac:dyDescent="0.25">
      <c r="B15" s="1">
        <v>46085</v>
      </c>
      <c r="C15" t="s">
        <v>20</v>
      </c>
      <c r="D15" t="s">
        <v>20</v>
      </c>
      <c r="E15" t="s">
        <v>19</v>
      </c>
      <c r="F15" t="s">
        <v>40</v>
      </c>
      <c r="G15" t="s">
        <v>49</v>
      </c>
      <c r="H15" t="s">
        <v>50</v>
      </c>
      <c r="I15" t="s">
        <v>51</v>
      </c>
      <c r="J15" t="s">
        <v>39</v>
      </c>
      <c r="K15" t="s">
        <v>39</v>
      </c>
      <c r="L15" s="1">
        <v>46090</v>
      </c>
    </row>
    <row r="16" spans="2:17" x14ac:dyDescent="0.25">
      <c r="B16" s="1">
        <v>46092</v>
      </c>
      <c r="C16" t="s">
        <v>21</v>
      </c>
      <c r="D16" t="s">
        <v>21</v>
      </c>
      <c r="E16" t="s">
        <v>22</v>
      </c>
      <c r="F16" t="s">
        <v>40</v>
      </c>
      <c r="G16" t="s">
        <v>49</v>
      </c>
      <c r="H16" t="s">
        <v>36</v>
      </c>
      <c r="I16" t="s">
        <v>36</v>
      </c>
      <c r="J16" t="s">
        <v>62</v>
      </c>
      <c r="K16" t="s">
        <v>63</v>
      </c>
      <c r="L16" t="s">
        <v>39</v>
      </c>
    </row>
    <row r="17" spans="2:12" x14ac:dyDescent="0.25">
      <c r="B17" s="1">
        <v>46093</v>
      </c>
      <c r="C17" t="s">
        <v>31</v>
      </c>
      <c r="D17" t="s">
        <v>68</v>
      </c>
      <c r="E17" t="s">
        <v>69</v>
      </c>
      <c r="F17" t="s">
        <v>48</v>
      </c>
      <c r="G17" t="s">
        <v>49</v>
      </c>
      <c r="H17" t="s">
        <v>50</v>
      </c>
      <c r="I17" t="s">
        <v>56</v>
      </c>
      <c r="J17" t="s">
        <v>70</v>
      </c>
      <c r="L17" s="1">
        <v>46093</v>
      </c>
    </row>
    <row r="18" spans="2:12" x14ac:dyDescent="0.25">
      <c r="B18" s="1">
        <v>46094</v>
      </c>
      <c r="C18" t="s">
        <v>31</v>
      </c>
      <c r="D18" t="s">
        <v>71</v>
      </c>
      <c r="E18" t="s">
        <v>72</v>
      </c>
      <c r="F18" t="s">
        <v>48</v>
      </c>
      <c r="G18" t="s">
        <v>49</v>
      </c>
      <c r="H18" t="s">
        <v>50</v>
      </c>
      <c r="I18" t="s">
        <v>56</v>
      </c>
      <c r="J18" t="s">
        <v>70</v>
      </c>
      <c r="L18" s="1">
        <v>46094</v>
      </c>
    </row>
    <row r="19" spans="2:12" x14ac:dyDescent="0.25">
      <c r="B19" s="1">
        <v>46094</v>
      </c>
      <c r="C19" t="s">
        <v>75</v>
      </c>
      <c r="D19" t="s">
        <v>11</v>
      </c>
      <c r="E19" t="s">
        <v>73</v>
      </c>
      <c r="F19" t="s">
        <v>48</v>
      </c>
      <c r="G19" t="s">
        <v>49</v>
      </c>
      <c r="H19" t="s">
        <v>50</v>
      </c>
      <c r="I19" t="s">
        <v>56</v>
      </c>
      <c r="J19" t="s">
        <v>70</v>
      </c>
      <c r="K19" t="s">
        <v>74</v>
      </c>
      <c r="L19" s="1">
        <v>46094</v>
      </c>
    </row>
  </sheetData>
  <dataValidations count="1">
    <dataValidation type="list" allowBlank="1" showInputMessage="1" showErrorMessage="1" sqref="G4:G17" xr:uid="{A13A4886-D354-4209-A2D7-39A75FDBF123}">
      <formula1>$Q$5:$Q$7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8E61F-2F80-4A6B-8BDA-6C499A2E0AB4}">
  <dimension ref="B4:C23"/>
  <sheetViews>
    <sheetView workbookViewId="0">
      <selection activeCell="F10" sqref="F10"/>
    </sheetView>
  </sheetViews>
  <sheetFormatPr baseColWidth="10" defaultRowHeight="15" x14ac:dyDescent="0.25"/>
  <cols>
    <col min="2" max="2" width="29" bestFit="1" customWidth="1"/>
    <col min="3" max="3" width="11.85546875" bestFit="1" customWidth="1"/>
  </cols>
  <sheetData>
    <row r="4" spans="2:3" x14ac:dyDescent="0.25">
      <c r="B4" t="s">
        <v>64</v>
      </c>
      <c r="C4">
        <f>COUNTIF(CRM_vacantes!H4:H16,"Applied")</f>
        <v>9</v>
      </c>
    </row>
    <row r="5" spans="2:3" x14ac:dyDescent="0.25">
      <c r="B5" t="s">
        <v>65</v>
      </c>
      <c r="C5">
        <f>COUNTIF(CRM_vacantes!H4:H16,"Assessment")</f>
        <v>1</v>
      </c>
    </row>
    <row r="6" spans="2:3" x14ac:dyDescent="0.25">
      <c r="B6" t="s">
        <v>35</v>
      </c>
      <c r="C6">
        <f>COUNTIF(CRM_vacantes!H4:H16,"Rejected")</f>
        <v>2</v>
      </c>
    </row>
    <row r="7" spans="2:3" x14ac:dyDescent="0.25">
      <c r="B7" t="s">
        <v>66</v>
      </c>
      <c r="C7">
        <f>COUNTIF(CRM_vacantes!H4:H16,"Interview")/COUNTIF(CRM_vacantes!H4:H16,"Applied")</f>
        <v>0</v>
      </c>
    </row>
    <row r="23" spans="2:2" x14ac:dyDescent="0.25">
      <c r="B23" t="s">
        <v>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DA0D04-08CB-40BB-A876-5C25EA7173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CRM_vacantes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T14 G1 I7</dc:creator>
  <cp:lastModifiedBy>T14 G1 I7</cp:lastModifiedBy>
  <dcterms:created xsi:type="dcterms:W3CDTF">2015-06-05T18:19:34Z</dcterms:created>
  <dcterms:modified xsi:type="dcterms:W3CDTF">2026-03-13T15:36:58Z</dcterms:modified>
</cp:coreProperties>
</file>